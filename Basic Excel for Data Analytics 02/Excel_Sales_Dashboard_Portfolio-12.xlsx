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ils\Downloads\"/>
    </mc:Choice>
  </mc:AlternateContent>
  <xr:revisionPtr revIDLastSave="0" documentId="13_ncr:1_{CA2F68EE-D170-4A05-85E7-88503B2516C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ales_Data" sheetId="1" r:id="rId1"/>
    <sheet name="Sales_By_Reg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<sst xmlns="http://schemas.openxmlformats.org/spreadsheetml/2006/main" count="55" uniqueCount="31">
  <si>
    <t>Order_ID</t>
  </si>
  <si>
    <t>Order_Date</t>
  </si>
  <si>
    <t>Region</t>
  </si>
  <si>
    <t>Product</t>
  </si>
  <si>
    <t>Category</t>
  </si>
  <si>
    <t>Salesperson</t>
  </si>
  <si>
    <t>Quantity</t>
  </si>
  <si>
    <t>Unit_Price</t>
  </si>
  <si>
    <t>Total_Sales</t>
  </si>
  <si>
    <t>2024-01-05</t>
  </si>
  <si>
    <t>North</t>
  </si>
  <si>
    <t>Laptop</t>
  </si>
  <si>
    <t>Electronics</t>
  </si>
  <si>
    <t>Amit</t>
  </si>
  <si>
    <t>2024-01-10</t>
  </si>
  <si>
    <t>South</t>
  </si>
  <si>
    <t>Mobile</t>
  </si>
  <si>
    <t>Riya</t>
  </si>
  <si>
    <t>2024-02-02</t>
  </si>
  <si>
    <t>East</t>
  </si>
  <si>
    <t>Tablet</t>
  </si>
  <si>
    <t>Rahul</t>
  </si>
  <si>
    <t>2024-02-15</t>
  </si>
  <si>
    <t>West</t>
  </si>
  <si>
    <t>Neha</t>
  </si>
  <si>
    <t>2024-03-01</t>
  </si>
  <si>
    <t>Headphones</t>
  </si>
  <si>
    <t>Accessories</t>
  </si>
  <si>
    <t>2024-03-18</t>
  </si>
  <si>
    <t>2024-04-05</t>
  </si>
  <si>
    <t>2024-04-20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</si>
</sst>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Total_Sales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Sales_By_Region!$A$2:$A$5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Sales_By_Region!$B$2:$B$5</c:f>
              <c:numCache>
                <c:formatCode>General</c:formatCode>
                <c:ptCount val="4"/>
                <c:pt idx="0">
                  <c:v>120000</c:v>
                </c:pt>
                <c:pt idx="1">
                  <c:v>123000</c:v>
                </c:pt>
                <c:pt idx="2">
                  <c:v>74400</c:v>
                </c:pt>
                <c:pt idx="3">
                  <c:v>116000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7-4931-89DB-068EC862D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5" sqref="D5"/>
    </sheetView>
  </sheetViews>
  <sheetFormatPr defaultColWidth="13.1796875" defaultRowHeight="28" customHeight="1" x14ac:dyDescent="0.35"/>
  <cols>
    <col min="1" max="16384" width="13.1796875" style="2"/>
  </cols>
  <sheetData>
    <row r="1" spans="1:9" s="1" customFormat="1" ht="28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28" customHeight="1" x14ac:dyDescent="0.35">
      <c r="A2" s="6">
        <v>1001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>
        <v>2</v>
      </c>
      <c r="H2" s="6">
        <v>50000</v>
      </c>
      <c r="I2" s="6">
        <f t="shared" ref="I2:I9" si="0">G2*H2</f>
        <v>100000</v>
      </c>
    </row>
    <row r="3" spans="1:9" ht="28" customHeight="1" x14ac:dyDescent="0.35">
      <c r="A3" s="6">
        <v>1002</v>
      </c>
      <c r="B3" s="6" t="s">
        <v>14</v>
      </c>
      <c r="C3" s="6" t="s">
        <v>15</v>
      </c>
      <c r="D3" s="6" t="s">
        <v>16</v>
      </c>
      <c r="E3" s="6" t="s">
        <v>12</v>
      </c>
      <c r="F3" s="6" t="s">
        <v>17</v>
      </c>
      <c r="G3" s="6">
        <v>5</v>
      </c>
      <c r="H3" s="6">
        <v>15000</v>
      </c>
      <c r="I3" s="6">
        <f t="shared" si="0"/>
        <v>75000</v>
      </c>
    </row>
    <row r="4" spans="1:9" ht="28" customHeight="1" x14ac:dyDescent="0.35">
      <c r="A4" s="6">
        <v>1003</v>
      </c>
      <c r="B4" s="6" t="s">
        <v>18</v>
      </c>
      <c r="C4" s="6" t="s">
        <v>19</v>
      </c>
      <c r="D4" s="6" t="s">
        <v>20</v>
      </c>
      <c r="E4" s="6" t="s">
        <v>12</v>
      </c>
      <c r="F4" s="6" t="s">
        <v>21</v>
      </c>
      <c r="G4" s="6">
        <v>3</v>
      </c>
      <c r="H4" s="6">
        <v>20000</v>
      </c>
      <c r="I4" s="6">
        <f t="shared" si="0"/>
        <v>60000</v>
      </c>
    </row>
    <row r="5" spans="1:9" ht="28" customHeight="1" x14ac:dyDescent="0.35">
      <c r="A5" s="6">
        <v>1004</v>
      </c>
      <c r="B5" s="6" t="s">
        <v>22</v>
      </c>
      <c r="C5" s="6" t="s">
        <v>23</v>
      </c>
      <c r="D5" s="6" t="s">
        <v>11</v>
      </c>
      <c r="E5" s="6" t="s">
        <v>12</v>
      </c>
      <c r="F5" s="6" t="s">
        <v>24</v>
      </c>
      <c r="G5" s="6">
        <v>1</v>
      </c>
      <c r="H5" s="6">
        <v>52000</v>
      </c>
      <c r="I5" s="6">
        <f t="shared" si="0"/>
        <v>52000</v>
      </c>
    </row>
    <row r="6" spans="1:9" ht="28" customHeight="1" x14ac:dyDescent="0.35">
      <c r="A6" s="6">
        <v>1005</v>
      </c>
      <c r="B6" s="6" t="s">
        <v>25</v>
      </c>
      <c r="C6" s="6" t="s">
        <v>10</v>
      </c>
      <c r="D6" s="6" t="s">
        <v>26</v>
      </c>
      <c r="E6" s="6" t="s">
        <v>27</v>
      </c>
      <c r="F6" s="6" t="s">
        <v>13</v>
      </c>
      <c r="G6" s="6">
        <v>10</v>
      </c>
      <c r="H6" s="6">
        <v>2000</v>
      </c>
      <c r="I6" s="6">
        <f t="shared" si="0"/>
        <v>20000</v>
      </c>
    </row>
    <row r="7" spans="1:9" ht="28" customHeight="1" x14ac:dyDescent="0.35">
      <c r="A7" s="6">
        <v>1006</v>
      </c>
      <c r="B7" s="6" t="s">
        <v>28</v>
      </c>
      <c r="C7" s="6" t="s">
        <v>15</v>
      </c>
      <c r="D7" s="6" t="s">
        <v>11</v>
      </c>
      <c r="E7" s="6" t="s">
        <v>12</v>
      </c>
      <c r="F7" s="6" t="s">
        <v>17</v>
      </c>
      <c r="G7" s="6">
        <v>1</v>
      </c>
      <c r="H7" s="6">
        <v>48000</v>
      </c>
      <c r="I7" s="6">
        <f t="shared" si="0"/>
        <v>48000</v>
      </c>
    </row>
    <row r="8" spans="1:9" ht="28" customHeight="1" x14ac:dyDescent="0.35">
      <c r="A8" s="6">
        <v>1007</v>
      </c>
      <c r="B8" s="6" t="s">
        <v>29</v>
      </c>
      <c r="C8" s="6" t="s">
        <v>23</v>
      </c>
      <c r="D8" s="6" t="s">
        <v>16</v>
      </c>
      <c r="E8" s="6" t="s">
        <v>12</v>
      </c>
      <c r="F8" s="6" t="s">
        <v>24</v>
      </c>
      <c r="G8" s="6">
        <v>4</v>
      </c>
      <c r="H8" s="6">
        <v>16000</v>
      </c>
      <c r="I8" s="6">
        <f t="shared" si="0"/>
        <v>64000</v>
      </c>
    </row>
    <row r="9" spans="1:9" ht="28" customHeight="1" x14ac:dyDescent="0.35">
      <c r="A9" s="6">
        <v>1008</v>
      </c>
      <c r="B9" s="6" t="s">
        <v>30</v>
      </c>
      <c r="C9" s="6" t="s">
        <v>19</v>
      </c>
      <c r="D9" s="6" t="s">
        <v>26</v>
      </c>
      <c r="E9" s="6" t="s">
        <v>27</v>
      </c>
      <c r="F9" s="6" t="s">
        <v>21</v>
      </c>
      <c r="G9" s="6">
        <v>8</v>
      </c>
      <c r="H9" s="6">
        <v>1800</v>
      </c>
      <c r="I9" s="6">
        <f t="shared" si="0"/>
        <v>14400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2" sqref="B12"/>
    </sheetView>
  </sheetViews>
  <sheetFormatPr defaultRowHeight="14.5" x14ac:dyDescent="0.35"/>
  <cols>
    <col min="1" max="1" width="9.81640625" customWidth="1"/>
    <col min="2" max="2" width="10" customWidth="1"/>
  </cols>
  <sheetData>
    <row r="1" spans="1:2" ht="18" customHeight="1" x14ac:dyDescent="0.35">
      <c r="A1" s="3" t="s">
        <v>2</v>
      </c>
      <c r="B1" s="3" t="s">
        <v>8</v>
      </c>
    </row>
    <row r="2" spans="1:2" x14ac:dyDescent="0.35">
      <c r="A2" s="4" t="s">
        <v>10</v>
      </c>
      <c r="B2" s="4">
        <f>SUMIFS(Sales_Data!I:I,Sales_Data!C:C,"North")</f>
        <v>120000</v>
      </c>
    </row>
    <row r="3" spans="1:2" x14ac:dyDescent="0.35">
      <c r="A3" s="4" t="s">
        <v>15</v>
      </c>
      <c r="B3" s="4">
        <f>SUMIFS(Sales_Data!I:I,Sales_Data!C:C,"South")</f>
        <v>123000</v>
      </c>
    </row>
    <row r="4" spans="1:2" x14ac:dyDescent="0.35">
      <c r="A4" s="4" t="s">
        <v>19</v>
      </c>
      <c r="B4" s="4">
        <f>SUMIFS(Sales_Data!I:I,Sales_Data!C:C,"East")</f>
        <v>74400</v>
      </c>
    </row>
    <row r="5" spans="1:2" x14ac:dyDescent="0.35">
      <c r="A5" s="4" t="s">
        <v>23</v>
      </c>
      <c r="B5" s="4">
        <f>SUMIFS(Sales_Data!I:I,Sales_Data!C:C,"West")</f>
        <v>116000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Sales_By_Region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Adil Raza</cp:lastModifiedBy>
  <dcterms:created xsi:type="dcterms:W3CDTF">2026-02-10T22:36:31Z</dcterms:created>
  <dcterms:modified xsi:type="dcterms:W3CDTF">2026-02-10T22:40:46Z</dcterms:modified>
</cp:coreProperties>
</file>