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4A0F705E-92E5-4AB3-9E21-FB320FBB208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4" i="1"/>
  <c r="K16" i="1"/>
  <c r="K15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G3" i="1"/>
  <c r="G4" i="1"/>
  <c r="G5" i="1"/>
  <c r="G6" i="1"/>
  <c r="G7" i="1"/>
  <c r="G8" i="1"/>
  <c r="G9" i="1"/>
  <c r="G10" i="1"/>
  <c r="G11" i="1"/>
  <c r="G2" i="1"/>
  <c r="F2" i="1"/>
  <c r="E2" i="1"/>
  <c r="K13" i="1"/>
  <c r="K12" i="1"/>
  <c r="A4" i="1"/>
  <c r="K14" i="1" l="1"/>
  <c r="E1048576" i="1"/>
</calcChain>
</file>

<file path=xl/sharedStrings.xml><?xml version="1.0" encoding="utf-8"?>
<sst xmlns="http://schemas.openxmlformats.org/spreadsheetml/2006/main" count="36" uniqueCount="26">
  <si>
    <t>S. NO.</t>
  </si>
  <si>
    <t>DESCRIPTION</t>
  </si>
  <si>
    <t>TYPE</t>
  </si>
  <si>
    <t>AMOUNT</t>
  </si>
  <si>
    <t>Tea</t>
  </si>
  <si>
    <t>Food</t>
  </si>
  <si>
    <t>lunch</t>
  </si>
  <si>
    <t>food</t>
  </si>
  <si>
    <t>Bus</t>
  </si>
  <si>
    <t>Transportation</t>
  </si>
  <si>
    <t>deaner</t>
  </si>
  <si>
    <t>Bike</t>
  </si>
  <si>
    <t>Investment</t>
  </si>
  <si>
    <t>Groww</t>
  </si>
  <si>
    <t>books</t>
  </si>
  <si>
    <t>stationary</t>
  </si>
  <si>
    <t>tea and samosa</t>
  </si>
  <si>
    <t>CoinDCX</t>
  </si>
  <si>
    <t>IPOs</t>
  </si>
  <si>
    <t>FOOD</t>
  </si>
  <si>
    <t>Total of the day</t>
  </si>
  <si>
    <t>Average Transactions Value</t>
  </si>
  <si>
    <t>Food expences</t>
  </si>
  <si>
    <t>Amount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</si>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</sst>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6"/>
  <sheetViews>
    <sheetView tabSelected="1" zoomScaleNormal="100" workbookViewId="0">
      <selection activeCell="G8" sqref="G8"/>
    </sheetView>
  </sheetViews>
  <sheetFormatPr defaultRowHeight="14.5" x14ac:dyDescent="0.35"/>
  <cols>
    <col min="2" max="2" width="13.6328125" customWidth="1"/>
    <col min="3" max="3" width="14.26953125" customWidth="1"/>
    <col min="4" max="4" width="10.90625" customWidth="1"/>
    <col min="6" max="6" width="19.08984375" customWidth="1"/>
    <col min="7" max="7" width="11.26953125" customWidth="1"/>
    <col min="8" max="8" width="6.1796875" customWidth="1"/>
    <col min="9" max="9" width="5.7265625" customWidth="1"/>
    <col min="10" max="10" width="19.7265625" customWidth="1"/>
    <col min="12" max="12" width="12" customWidth="1"/>
    <col min="13" max="13" width="9.7265625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9</v>
      </c>
      <c r="G1" s="2" t="s">
        <v>12</v>
      </c>
    </row>
    <row r="2" spans="1:12" x14ac:dyDescent="0.35">
      <c r="A2" s="3">
        <v>1</v>
      </c>
      <c r="B2" s="3" t="s">
        <v>4</v>
      </c>
      <c r="C2" s="3" t="s">
        <v>5</v>
      </c>
      <c r="D2" s="3">
        <v>45</v>
      </c>
      <c r="E2" s="3">
        <f>COUNTIF(C2,"Food")*D2</f>
        <v>45</v>
      </c>
      <c r="F2" s="3">
        <f>COUNTIF(C2,"Transportation")*D2</f>
        <v>0</v>
      </c>
      <c r="G2" s="3">
        <f>COUNTIF(C2,"Investment")*D2</f>
        <v>0</v>
      </c>
    </row>
    <row r="3" spans="1:12" x14ac:dyDescent="0.35">
      <c r="A3" s="3">
        <v>2</v>
      </c>
      <c r="B3" s="3" t="s">
        <v>6</v>
      </c>
      <c r="C3" s="3" t="s">
        <v>7</v>
      </c>
      <c r="D3" s="3">
        <v>78</v>
      </c>
      <c r="E3" s="3">
        <f t="shared" ref="E3:E12" si="0">COUNTIF(C3,"Food")*D3</f>
        <v>78</v>
      </c>
      <c r="F3" s="3">
        <f t="shared" ref="F3:F13" si="1">COUNTIF(C3,"Transportation")*D3</f>
        <v>0</v>
      </c>
      <c r="G3" s="3">
        <f t="shared" ref="G3:G11" si="2">COUNTIF(C3,"Investment")*D3</f>
        <v>0</v>
      </c>
    </row>
    <row r="4" spans="1:12" x14ac:dyDescent="0.35">
      <c r="A4" s="3">
        <f>SUM(A2:A3)</f>
        <v>3</v>
      </c>
      <c r="B4" s="3" t="s">
        <v>8</v>
      </c>
      <c r="C4" s="3" t="s">
        <v>9</v>
      </c>
      <c r="D4" s="3">
        <v>56</v>
      </c>
      <c r="E4" s="3">
        <f t="shared" si="0"/>
        <v>0</v>
      </c>
      <c r="F4" s="3">
        <f t="shared" si="1"/>
        <v>56</v>
      </c>
      <c r="G4" s="3">
        <f t="shared" si="2"/>
        <v>0</v>
      </c>
    </row>
    <row r="5" spans="1:12" x14ac:dyDescent="0.35">
      <c r="A5" s="3">
        <v>4</v>
      </c>
      <c r="B5" s="3" t="s">
        <v>10</v>
      </c>
      <c r="C5" s="3" t="s">
        <v>5</v>
      </c>
      <c r="D5" s="3">
        <v>80</v>
      </c>
      <c r="E5" s="3">
        <f t="shared" si="0"/>
        <v>80</v>
      </c>
      <c r="F5" s="3">
        <f t="shared" si="1"/>
        <v>0</v>
      </c>
      <c r="G5" s="3">
        <f t="shared" si="2"/>
        <v>0</v>
      </c>
    </row>
    <row r="6" spans="1:12" x14ac:dyDescent="0.35">
      <c r="A6" s="3">
        <v>5</v>
      </c>
      <c r="B6" s="3" t="s">
        <v>11</v>
      </c>
      <c r="C6" s="3" t="s">
        <v>9</v>
      </c>
      <c r="D6" s="3">
        <v>140</v>
      </c>
      <c r="E6" s="3">
        <f t="shared" si="0"/>
        <v>0</v>
      </c>
      <c r="F6" s="3">
        <f t="shared" si="1"/>
        <v>140</v>
      </c>
      <c r="G6" s="3">
        <f t="shared" si="2"/>
        <v>0</v>
      </c>
    </row>
    <row r="7" spans="1:12" x14ac:dyDescent="0.35">
      <c r="A7" s="3">
        <v>6</v>
      </c>
      <c r="B7" s="3" t="s">
        <v>13</v>
      </c>
      <c r="C7" s="3" t="s">
        <v>12</v>
      </c>
      <c r="D7" s="3">
        <v>2000</v>
      </c>
      <c r="E7" s="3">
        <f t="shared" si="0"/>
        <v>0</v>
      </c>
      <c r="F7" s="3">
        <f t="shared" si="1"/>
        <v>0</v>
      </c>
      <c r="G7" s="3">
        <f t="shared" si="2"/>
        <v>2000</v>
      </c>
    </row>
    <row r="8" spans="1:12" x14ac:dyDescent="0.35">
      <c r="A8" s="3">
        <v>7</v>
      </c>
      <c r="B8" s="3" t="s">
        <v>14</v>
      </c>
      <c r="C8" s="3" t="s">
        <v>15</v>
      </c>
      <c r="D8" s="3">
        <v>60</v>
      </c>
      <c r="E8" s="3">
        <f t="shared" si="0"/>
        <v>0</v>
      </c>
      <c r="F8" s="3">
        <f t="shared" si="1"/>
        <v>0</v>
      </c>
      <c r="G8" s="3">
        <f t="shared" si="2"/>
        <v>0</v>
      </c>
    </row>
    <row r="9" spans="1:12" x14ac:dyDescent="0.35">
      <c r="A9" s="3">
        <v>8</v>
      </c>
      <c r="B9" s="3" t="s">
        <v>16</v>
      </c>
      <c r="C9" s="3" t="s">
        <v>5</v>
      </c>
      <c r="D9" s="3">
        <v>60</v>
      </c>
      <c r="E9" s="3">
        <f t="shared" si="0"/>
        <v>60</v>
      </c>
      <c r="F9" s="3">
        <f t="shared" si="1"/>
        <v>0</v>
      </c>
      <c r="G9" s="3">
        <f t="shared" si="2"/>
        <v>0</v>
      </c>
    </row>
    <row r="10" spans="1:12" x14ac:dyDescent="0.35">
      <c r="A10" s="3">
        <v>9</v>
      </c>
      <c r="B10" s="3" t="s">
        <v>17</v>
      </c>
      <c r="C10" s="3" t="s">
        <v>12</v>
      </c>
      <c r="D10" s="3">
        <v>4000</v>
      </c>
      <c r="E10" s="3">
        <f t="shared" si="0"/>
        <v>0</v>
      </c>
      <c r="F10" s="3">
        <f t="shared" si="1"/>
        <v>0</v>
      </c>
      <c r="G10" s="3">
        <f t="shared" si="2"/>
        <v>4000</v>
      </c>
    </row>
    <row r="11" spans="1:12" x14ac:dyDescent="0.35">
      <c r="A11" s="3">
        <v>10</v>
      </c>
      <c r="B11" s="3" t="s">
        <v>18</v>
      </c>
      <c r="C11" s="3" t="s">
        <v>12</v>
      </c>
      <c r="D11" s="3">
        <v>14000</v>
      </c>
      <c r="E11" s="3">
        <f t="shared" si="0"/>
        <v>0</v>
      </c>
      <c r="F11" s="3">
        <f t="shared" si="1"/>
        <v>0</v>
      </c>
      <c r="G11" s="3">
        <f t="shared" si="2"/>
        <v>14000</v>
      </c>
      <c r="J11" s="4"/>
      <c r="K11" s="5" t="s">
        <v>23</v>
      </c>
      <c r="L11" s="5" t="s">
        <v>24</v>
      </c>
    </row>
    <row r="12" spans="1:12" ht="20.5" customHeight="1" x14ac:dyDescent="0.35">
      <c r="J12" s="6" t="s">
        <v>20</v>
      </c>
      <c r="K12" s="7">
        <f>SUM(D2:D11)</f>
        <v>20519</v>
      </c>
      <c r="L12" s="7" t="s">
        <v>25</v>
      </c>
    </row>
    <row r="13" spans="1:12" ht="33.5" customHeight="1" x14ac:dyDescent="0.35">
      <c r="J13" s="8" t="s">
        <v>21</v>
      </c>
      <c r="K13" s="7">
        <f>AVERAGE(D2:D11)</f>
        <v>2051.9</v>
      </c>
      <c r="L13" s="7" t="s">
        <v>25</v>
      </c>
    </row>
    <row r="14" spans="1:12" x14ac:dyDescent="0.35">
      <c r="J14" s="6" t="s">
        <v>22</v>
      </c>
      <c r="K14" s="7">
        <f>SUM(E2:E11)</f>
        <v>263</v>
      </c>
      <c r="L14" s="7">
        <f>100*K14/SUM(K14:K16)</f>
        <v>1.285497824918129</v>
      </c>
    </row>
    <row r="15" spans="1:12" x14ac:dyDescent="0.35">
      <c r="J15" s="6" t="s">
        <v>9</v>
      </c>
      <c r="K15" s="7">
        <f>SUM(F2:F11)</f>
        <v>196</v>
      </c>
      <c r="L15" s="7">
        <f t="shared" ref="L15:L16" si="3">100*K15/SUM(K15:K17)</f>
        <v>0.97048920578332343</v>
      </c>
    </row>
    <row r="16" spans="1:12" x14ac:dyDescent="0.35">
      <c r="J16" s="6" t="s">
        <v>12</v>
      </c>
      <c r="K16" s="7">
        <f>SUM(G2:G11)</f>
        <v>20000</v>
      </c>
      <c r="L16" s="7">
        <f t="shared" si="3"/>
        <v>100</v>
      </c>
    </row>
    <row r="1048576" spans="5:5" x14ac:dyDescent="0.35">
      <c r="E1048576">
        <f>SUM(E2:E1048575)</f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2026-02-08T20:50:05Z</dcterms:modified>
</cp:coreProperties>
</file>